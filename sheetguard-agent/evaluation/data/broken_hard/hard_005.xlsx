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  <sheet name="Revenue" sheetId="2" state="visible" r:id="rId2"/>
    <sheet name="Cost" sheetId="3" state="visible" r:id="rId3"/>
    <sheet name="P&amp;L" sheetId="4" state="visible" r:id="rId4"/>
    <sheet name="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</row>
    <row r="2">
      <c r="A2" t="inlineStr">
        <is>
          <t>Units</t>
        </is>
      </c>
      <c r="B2" t="n">
        <v>997</v>
      </c>
      <c r="C2" t="n">
        <v>1188</v>
      </c>
      <c r="D2" t="n">
        <v>1015</v>
      </c>
      <c r="E2" t="n">
        <v>820</v>
      </c>
      <c r="F2" t="n">
        <v>932</v>
      </c>
      <c r="G2" t="n">
        <v>1061</v>
      </c>
      <c r="H2" t="n">
        <v>1048</v>
      </c>
      <c r="I2" t="n">
        <v>1007</v>
      </c>
      <c r="J2" t="n">
        <v>955</v>
      </c>
      <c r="K2" t="n">
        <v>1044</v>
      </c>
      <c r="L2" t="n">
        <v>983</v>
      </c>
      <c r="M2" t="n">
        <v>1098</v>
      </c>
    </row>
    <row r="3">
      <c r="A3" t="inlineStr">
        <is>
          <t>UnitPrice</t>
        </is>
      </c>
      <c r="B3" t="n">
        <v>62.83</v>
      </c>
      <c r="C3" t="n">
        <v>49.37</v>
      </c>
      <c r="D3" t="n">
        <v>47.79</v>
      </c>
      <c r="E3" t="n">
        <v>47.79</v>
      </c>
      <c r="F3" t="n">
        <v>46.9</v>
      </c>
      <c r="G3" t="n">
        <v>60.99</v>
      </c>
      <c r="H3" t="n">
        <v>64.75</v>
      </c>
      <c r="I3" t="n">
        <v>55.65</v>
      </c>
      <c r="J3" t="n">
        <v>59.1</v>
      </c>
      <c r="K3" t="n">
        <v>57.04</v>
      </c>
      <c r="L3" t="n">
        <v>47.94</v>
      </c>
      <c r="M3" t="n">
        <v>46.98</v>
      </c>
    </row>
    <row r="4">
      <c r="A4" t="inlineStr">
        <is>
          <t>UnitCost</t>
        </is>
      </c>
      <c r="B4" t="n">
        <v>26.11</v>
      </c>
      <c r="C4" t="n">
        <v>37.76</v>
      </c>
      <c r="D4" t="n">
        <v>29.95</v>
      </c>
      <c r="E4" t="n">
        <v>33.4</v>
      </c>
      <c r="F4" t="n">
        <v>30.31</v>
      </c>
      <c r="G4" t="n">
        <v>29.74</v>
      </c>
      <c r="H4" t="n">
        <v>34.61</v>
      </c>
      <c r="I4" t="n">
        <v>28.07</v>
      </c>
      <c r="J4" t="n">
        <v>33.29</v>
      </c>
      <c r="K4" t="n">
        <v>31.64</v>
      </c>
      <c r="L4" t="n">
        <v>32.82</v>
      </c>
      <c r="M4" t="n">
        <v>25.93</v>
      </c>
    </row>
    <row r="5">
      <c r="A5" t="inlineStr">
        <is>
          <t>Opex</t>
        </is>
      </c>
      <c r="B5" t="n">
        <v>9494</v>
      </c>
      <c r="C5" t="n">
        <v>5115</v>
      </c>
      <c r="D5" t="n">
        <v>5764</v>
      </c>
      <c r="E5" t="n">
        <v>10895</v>
      </c>
      <c r="F5" t="n">
        <v>11882</v>
      </c>
      <c r="G5" t="n">
        <v>8267</v>
      </c>
      <c r="H5" t="n">
        <v>10818</v>
      </c>
      <c r="I5" t="n">
        <v>11757</v>
      </c>
      <c r="J5" t="n">
        <v>11431</v>
      </c>
      <c r="K5" t="n">
        <v>10473</v>
      </c>
      <c r="L5" t="n">
        <v>10122</v>
      </c>
      <c r="M5" t="n">
        <v>5009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GrossRevenue</t>
        </is>
      </c>
      <c r="B2">
        <f>RawData!B2*RawData!B3</f>
        <v/>
      </c>
      <c r="C2">
        <f>RawData!C2*RawData!C3</f>
        <v/>
      </c>
      <c r="D2">
        <f>RawData!D2*RawData!D3</f>
        <v/>
      </c>
      <c r="E2">
        <f>RawData!E2*RawData!E3</f>
        <v/>
      </c>
      <c r="F2">
        <f>RawData!F2+RawData!F3</f>
        <v/>
      </c>
      <c r="G2">
        <f>RawData!G2*RawData!G3</f>
        <v/>
      </c>
      <c r="H2">
        <f>RawData!H2*RawData!H3</f>
        <v/>
      </c>
      <c r="I2">
        <f>RawData!I2*RawData!I3</f>
        <v/>
      </c>
      <c r="J2">
        <f>RawData!J2*RawData!J3</f>
        <v/>
      </c>
      <c r="K2">
        <f>RawData!K2*RawData!K3</f>
        <v/>
      </c>
      <c r="L2">
        <f>RawData!L2*RawData!L3</f>
        <v/>
      </c>
      <c r="M2">
        <f>RawData!M2*RawData!M3</f>
        <v/>
      </c>
      <c r="N2">
        <f>SUM(B2:M2)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TotalCost</t>
        </is>
      </c>
      <c r="B2">
        <f>RawData!B2*RawData!B4+RawData!B5</f>
        <v/>
      </c>
      <c r="C2">
        <f>RawData!C2*RawData!C4+RawData!C5</f>
        <v/>
      </c>
      <c r="D2">
        <f>RawData!D2*RawData!D4+RawData!D5</f>
        <v/>
      </c>
      <c r="E2">
        <f>RawData!E2*RawData!E4+RawData!E5</f>
        <v/>
      </c>
      <c r="F2">
        <f>RawData!F2*RawData!F4-RawData!F5</f>
        <v/>
      </c>
      <c r="G2">
        <f>RawData!G2*RawData!G4+RawData!G5</f>
        <v/>
      </c>
      <c r="H2">
        <f>RawData!H2*RawData!H4+RawData!H5</f>
        <v/>
      </c>
      <c r="I2">
        <f>RawData!I2*RawData!I4+RawData!I5</f>
        <v/>
      </c>
      <c r="J2">
        <f>RawData!J2*RawData!J4+RawData!J5</f>
        <v/>
      </c>
      <c r="K2">
        <f>RawData!K2*RawData!K4+RawData!K5</f>
        <v/>
      </c>
      <c r="L2">
        <f>RawData!L2*RawData!L4+RawData!L5</f>
        <v/>
      </c>
      <c r="M2">
        <f>RawData!M2*RawData!M4+RawData!M5</f>
        <v/>
      </c>
      <c r="N2">
        <f>SUM(B2:M2)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GrossProfit</t>
        </is>
      </c>
      <c r="B2">
        <f>Revenue!B2-Cost!B2</f>
        <v/>
      </c>
      <c r="C2">
        <f>Revenue!C2-Cost!C2</f>
        <v/>
      </c>
      <c r="D2">
        <f>Revenue!D2-Cost!D2</f>
        <v/>
      </c>
      <c r="E2">
        <f>Revenue!E2-Cost!E2</f>
        <v/>
      </c>
      <c r="F2">
        <f>Revenue!F2-Cost!F2</f>
        <v/>
      </c>
      <c r="G2">
        <f>Revenue!G2-Cost!G2</f>
        <v/>
      </c>
      <c r="H2">
        <f>Revenue!H2-Cost!H2</f>
        <v/>
      </c>
      <c r="I2">
        <f>Revenue!I2-Cost!I2</f>
        <v/>
      </c>
      <c r="J2">
        <f>Revenue!J2-Cost!J2</f>
        <v/>
      </c>
      <c r="K2">
        <f>Revenue!K2-Cost!K2</f>
        <v/>
      </c>
      <c r="L2">
        <f>Revenue!L2-Cost!L2</f>
        <v/>
      </c>
      <c r="M2">
        <f>Revenue!M2-Cost!M2</f>
        <v/>
      </c>
      <c r="N2">
        <f>SUM(B2:M2)</f>
        <v/>
      </c>
    </row>
    <row r="3">
      <c r="A3" t="inlineStr">
        <is>
          <t>Tax</t>
        </is>
      </c>
      <c r="B3">
        <f>'P&amp;L'!B2*0.25</f>
        <v/>
      </c>
      <c r="C3">
        <f>'P&amp;L'!C2*0.25</f>
        <v/>
      </c>
      <c r="D3">
        <f>'P&amp;L'!D2*0.25</f>
        <v/>
      </c>
      <c r="E3">
        <f>'P&amp;L'!E2*0.25</f>
        <v/>
      </c>
      <c r="F3">
        <f>'P&amp;L'!F2*0.25</f>
        <v/>
      </c>
      <c r="G3">
        <f>'P&amp;L'!G2*0.25</f>
        <v/>
      </c>
      <c r="H3">
        <f>'P&amp;L'!H2*0.25</f>
        <v/>
      </c>
      <c r="I3">
        <f>'P&amp;L'!I2*0.25</f>
        <v/>
      </c>
      <c r="J3">
        <f>'P&amp;L'!J2*0.25</f>
        <v/>
      </c>
      <c r="K3">
        <f>'P&amp;L'!K2*0.25</f>
        <v/>
      </c>
      <c r="L3">
        <f>'P&amp;L'!L2*0.25</f>
        <v/>
      </c>
      <c r="M3">
        <f>'P&amp;L'!M2*0.25</f>
        <v/>
      </c>
      <c r="N3">
        <f>SUM(B3:M3)</f>
        <v/>
      </c>
    </row>
    <row r="4">
      <c r="A4" t="inlineStr">
        <is>
          <t>NetProfit</t>
        </is>
      </c>
      <c r="B4">
        <f>'P&amp;L'!B2-'P&amp;L'!B3</f>
        <v/>
      </c>
      <c r="C4">
        <f>'P&amp;L'!C2-'P&amp;L'!C3</f>
        <v/>
      </c>
      <c r="D4">
        <f>'P&amp;L'!D2-'P&amp;L'!D3</f>
        <v/>
      </c>
      <c r="E4">
        <f>'P&amp;L'!E2-'P&amp;L'!E3</f>
        <v/>
      </c>
      <c r="F4">
        <f>'P&amp;L'!F2-'P&amp;L'!F3</f>
        <v/>
      </c>
      <c r="G4">
        <f>'P&amp;L'!G2-'P&amp;L'!G3</f>
        <v/>
      </c>
      <c r="H4">
        <f>'P&amp;L'!H2-'P&amp;L'!H3</f>
        <v/>
      </c>
      <c r="I4">
        <f>'P&amp;L'!I2-'P&amp;L'!I3</f>
        <v/>
      </c>
      <c r="J4">
        <f>'P&amp;L'!J2-'P&amp;L'!J3</f>
        <v/>
      </c>
      <c r="K4">
        <f>'P&amp;L'!K2-'P&amp;L'!K3</f>
        <v/>
      </c>
      <c r="L4">
        <f>'P&amp;L'!L2-'P&amp;L'!L3</f>
        <v/>
      </c>
      <c r="M4">
        <f>'P&amp;L'!M2-'P&amp;L'!M3</f>
        <v/>
      </c>
      <c r="N4">
        <f>SUM(B4:M4)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NetProfit</t>
        </is>
      </c>
      <c r="B2">
        <f>'P&amp;L'!B4</f>
        <v/>
      </c>
      <c r="C2">
        <f>'P&amp;L'!C4</f>
        <v/>
      </c>
      <c r="D2">
        <f>'P&amp;L'!D4</f>
        <v/>
      </c>
      <c r="E2">
        <f>'P&amp;L'!E4</f>
        <v/>
      </c>
      <c r="F2">
        <f>'P&amp;L'!F4</f>
        <v/>
      </c>
      <c r="G2">
        <f>'P&amp;L'!G4</f>
        <v/>
      </c>
      <c r="H2">
        <f>'P&amp;L'!H4</f>
        <v/>
      </c>
      <c r="I2">
        <f>'P&amp;L'!I4</f>
        <v/>
      </c>
      <c r="J2">
        <f>'P&amp;L'!J4</f>
        <v/>
      </c>
      <c r="K2">
        <f>'P&amp;L'!K4</f>
        <v/>
      </c>
      <c r="L2">
        <f>'P&amp;L'!L4</f>
        <v/>
      </c>
      <c r="M2">
        <f>'P&amp;L'!M4</f>
        <v/>
      </c>
      <c r="N2">
        <f>SUM(B2:M2)</f>
        <v/>
      </c>
    </row>
    <row r="3">
      <c r="A3" t="inlineStr">
        <is>
          <t>Revenue</t>
        </is>
      </c>
      <c r="B3">
        <f>Revenue!B2</f>
        <v/>
      </c>
      <c r="C3">
        <f>Revenue!C2</f>
        <v/>
      </c>
      <c r="D3">
        <f>Revenue!D2</f>
        <v/>
      </c>
      <c r="E3">
        <f>Revenue!E2</f>
        <v/>
      </c>
      <c r="F3">
        <f>Revenue!F2</f>
        <v/>
      </c>
      <c r="G3">
        <f>Revenue!G2</f>
        <v/>
      </c>
      <c r="H3">
        <f>Revenue!H2</f>
        <v/>
      </c>
      <c r="I3">
        <f>Revenue!I2</f>
        <v/>
      </c>
      <c r="J3">
        <f>Revenue!J2</f>
        <v/>
      </c>
      <c r="K3">
        <f>Revenue!K2</f>
        <v/>
      </c>
      <c r="L3">
        <f>Revenue!L2</f>
        <v/>
      </c>
      <c r="M3">
        <f>Revenue!M2</f>
        <v/>
      </c>
      <c r="N3">
        <f>SUM(B3:M3)</f>
        <v/>
      </c>
    </row>
    <row r="4">
      <c r="A4" t="inlineStr">
        <is>
          <t>Cost</t>
        </is>
      </c>
      <c r="B4">
        <f>Cost!B2</f>
        <v/>
      </c>
      <c r="C4">
        <f>Cost!C2</f>
        <v/>
      </c>
      <c r="D4">
        <f>Cost!D2</f>
        <v/>
      </c>
      <c r="E4">
        <f>Cost!E2</f>
        <v/>
      </c>
      <c r="F4">
        <f>Cost!F2</f>
        <v/>
      </c>
      <c r="G4">
        <f>Cost!G2</f>
        <v/>
      </c>
      <c r="H4">
        <f>Cost!H2</f>
        <v/>
      </c>
      <c r="I4">
        <f>Cost!I2</f>
        <v/>
      </c>
      <c r="J4">
        <f>Cost!J2</f>
        <v/>
      </c>
      <c r="K4">
        <f>Cost!K2</f>
        <v/>
      </c>
      <c r="L4">
        <f>Cost!L2</f>
        <v/>
      </c>
      <c r="M4">
        <f>Cost!M2</f>
        <v/>
      </c>
      <c r="N4">
        <f>SUM(B4:M4)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2026-08-24T09:43:51Z</dcterms:created>
  <dcterms:modified xsi:type="dcterms:W3CDTF">2026-09-12T12:26:56Z</dcterms:modified>
</cp:coreProperties>
</file>